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0" documentId="8_{2F4034E3-7373-4148-BE40-AAFBB994BB2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EXPENSES-DATA" sheetId="1" r:id="rId1"/>
    <sheet name="STUDENT-EXPENSE-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D1" i="2"/>
  <c r="F8" i="1"/>
</calcChain>
</file>

<file path=xl/sharedStrings.xml><?xml version="1.0" encoding="utf-8"?>
<sst xmlns="http://schemas.openxmlformats.org/spreadsheetml/2006/main" count="90" uniqueCount="31">
  <si>
    <t>DATE</t>
  </si>
  <si>
    <t>CATEGORY</t>
  </si>
  <si>
    <t>AMOUNT</t>
  </si>
  <si>
    <t>PAYMENT METHOD</t>
  </si>
  <si>
    <t>ITEM</t>
  </si>
  <si>
    <t>TOTAL EXPENCES                                       =     17780</t>
  </si>
  <si>
    <t>FOOD</t>
  </si>
  <si>
    <t>PAYTM</t>
  </si>
  <si>
    <t>BREAK FAST</t>
  </si>
  <si>
    <t>AVERAGE EXPENSES                                 =     1045.882353</t>
  </si>
  <si>
    <t>TRAVEL CHARGE</t>
  </si>
  <si>
    <t>CASH</t>
  </si>
  <si>
    <t xml:space="preserve">HYDERABAD </t>
  </si>
  <si>
    <t xml:space="preserve">HIGHEST EXPENSES                                  =       5000                    </t>
  </si>
  <si>
    <t>SHOPING</t>
  </si>
  <si>
    <t>CLOTHES</t>
  </si>
  <si>
    <t>PAYMENT METHOD (CASH)                      = 4</t>
  </si>
  <si>
    <t>LUNCH</t>
  </si>
  <si>
    <t>PAYMENT METHOD (PAYTM)                     =13</t>
  </si>
  <si>
    <t>SNACKS</t>
  </si>
  <si>
    <t xml:space="preserve">BREAKBREAKFAST </t>
  </si>
  <si>
    <t>LODGE</t>
  </si>
  <si>
    <t>TAJ KRISHNA</t>
  </si>
  <si>
    <t>GOLKONDA</t>
  </si>
  <si>
    <t>CHARMINAR</t>
  </si>
  <si>
    <t xml:space="preserve">SNACKS </t>
  </si>
  <si>
    <t>PERFUMES</t>
  </si>
  <si>
    <t>SHOES</t>
  </si>
  <si>
    <t>ANDHRA PRADHESH</t>
  </si>
  <si>
    <t>DINNER</t>
  </si>
  <si>
    <t xml:space="preserve">EXPENSES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</si>
</sst>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[$-409]d\-mmm\-yy;@"/>
  </numFmts>
  <fonts count="2">
    <font>
      <sz val="11"/>
      <color theme="1"/>
      <name val="Calibri"/>
      <family val="2"/>
      <scheme val="minor"/>
    </font>
    <font>
      <b/>
      <sz val="18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CATEGORY-WISE-EXPENSES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'STUDENT-EXPENSE-DASHBOARD'!$C$1:$C$4</c:f>
              <c:strCache>
                <c:ptCount val="4"/>
                <c:pt idx="0">
                  <c:v>FOOD</c:v>
                </c:pt>
                <c:pt idx="1">
                  <c:v>SHOPING</c:v>
                </c:pt>
                <c:pt idx="2">
                  <c:v>TRAVEL CHARGE</c:v>
                </c:pt>
                <c:pt idx="3">
                  <c:v>LODGE</c:v>
                </c:pt>
              </c:strCache>
            </c:strRef>
          </c:cat>
          <c:val>
            <c:numRef>
              <c:f>'STUDENT-EXPENSE-DASHBOARD'!$D$1:$D$4</c:f>
              <c:numCache>
                <c:formatCode>General</c:formatCode>
                <c:ptCount val="4"/>
                <c:pt idx="0">
                  <c:v>2180</c:v>
                </c:pt>
                <c:pt idx="1">
                  <c:v>8000</c:v>
                </c:pt>
                <c:pt idx="2">
                  <c:v>2600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A-4824-98A0-BC55F36A8AD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'STUDENT-EXPENSE-DASHBOARD'!$C$1:$C$4</c:f>
              <c:strCache>
                <c:ptCount val="4"/>
                <c:pt idx="0">
                  <c:v>FOOD</c:v>
                </c:pt>
                <c:pt idx="1">
                  <c:v>SHOPING</c:v>
                </c:pt>
                <c:pt idx="2">
                  <c:v>TRAVEL CHARGE</c:v>
                </c:pt>
                <c:pt idx="3">
                  <c:v>LODGE</c:v>
                </c:pt>
              </c:strCache>
            </c:strRef>
          </c:cat>
          <c:val>
            <c:numRef>
              <c:f>'STUDENT-EXPENSE-DASHBOARD'!$E$1:$E$4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1C4A-4824-98A0-BC55F36A8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'STUDENT-EXPENSE-DASHBOARD'!$C$1:$C$4</c:f>
              <c:strCache>
                <c:ptCount val="4"/>
                <c:pt idx="0">
                  <c:v>FOOD</c:v>
                </c:pt>
                <c:pt idx="1">
                  <c:v>SHOPING</c:v>
                </c:pt>
                <c:pt idx="2">
                  <c:v>TRAVEL CHARGE</c:v>
                </c:pt>
                <c:pt idx="3">
                  <c:v>LODGE</c:v>
                </c:pt>
              </c:strCache>
            </c:strRef>
          </c:cat>
          <c:val>
            <c:numRef>
              <c:f>'STUDENT-EXPENSE-DASHBOARD'!$D$1:$D$4</c:f>
              <c:numCache>
                <c:formatCode>General</c:formatCode>
                <c:ptCount val="4"/>
                <c:pt idx="0">
                  <c:v>2180</c:v>
                </c:pt>
                <c:pt idx="1">
                  <c:v>8000</c:v>
                </c:pt>
                <c:pt idx="2">
                  <c:v>2600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B-4F81-99A4-95B5EEC53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110151"/>
        <c:axId val="71138823"/>
      </c:barChart>
      <c:catAx>
        <c:axId val="71110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8823"/>
        <c:crosses val="autoZero"/>
        <c:auto val="1"/>
        <c:lblAlgn val="ctr"/>
        <c:lblOffset val="100"/>
        <c:noMultiLvlLbl val="0"/>
      </c:catAx>
      <c:valAx>
        <c:axId val="71138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10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EXPENSE-TREND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'STUDENT-EXPENSE-DASHBOARD'!$C$1:$C$4</c:f>
              <c:strCache>
                <c:ptCount val="4"/>
                <c:pt idx="0">
                  <c:v>FOOD</c:v>
                </c:pt>
                <c:pt idx="1">
                  <c:v>SHOPING</c:v>
                </c:pt>
                <c:pt idx="2">
                  <c:v>TRAVEL CHARGE</c:v>
                </c:pt>
                <c:pt idx="3">
                  <c:v>LODGE</c:v>
                </c:pt>
              </c:strCache>
            </c:strRef>
          </c:cat>
          <c:val>
            <c:numRef>
              <c:f>'STUDENT-EXPENSE-DASHBOARD'!$D$1:$D$4</c:f>
              <c:numCache>
                <c:formatCode>General</c:formatCode>
                <c:ptCount val="4"/>
                <c:pt idx="0">
                  <c:v>2180</c:v>
                </c:pt>
                <c:pt idx="1">
                  <c:v>8000</c:v>
                </c:pt>
                <c:pt idx="2">
                  <c:v>2600</c:v>
                </c:pt>
                <c:pt idx="3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E1-4A40-978F-E30D19353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28743"/>
        <c:axId val="77436423"/>
      </c:lineChart>
      <c:catAx>
        <c:axId val="77428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6423"/>
        <c:crosses val="autoZero"/>
        <c:auto val="1"/>
        <c:lblAlgn val="ctr"/>
        <c:lblOffset val="100"/>
        <c:noMultiLvlLbl val="0"/>
      </c:catAx>
      <c:valAx>
        <c:axId val="77436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8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0</xdr:row>
      <xdr:rowOff>171450</xdr:rowOff>
    </xdr:from>
    <xdr:to>
      <xdr:col>17</xdr:col>
      <xdr:colOff>0</xdr:colOff>
      <xdr:row>14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0F208D-40DC-7724-8BFA-0008F1E4F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0</xdr:row>
      <xdr:rowOff>142875</xdr:rowOff>
    </xdr:from>
    <xdr:to>
      <xdr:col>10</xdr:col>
      <xdr:colOff>523875</xdr:colOff>
      <xdr:row>13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960B3A8-320B-00AD-D72E-0A10C43CAF60}"/>
            </a:ext>
            <a:ext uri="{147F2762-F138-4A5C-976F-8EAC2B608ADB}">
              <a16:predDERef xmlns:a16="http://schemas.microsoft.com/office/drawing/2014/main" pred="{6B0F208D-40DC-7724-8BFA-0008F1E4F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257175</xdr:colOff>
      <xdr:row>15</xdr:row>
      <xdr:rowOff>133350</xdr:rowOff>
    </xdr:from>
    <xdr:to>
      <xdr:col>19</xdr:col>
      <xdr:colOff>114300</xdr:colOff>
      <xdr:row>30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926F94E-6BC8-0A22-BB8B-B905D587BBB9}"/>
            </a:ext>
            <a:ext uri="{147F2762-F138-4A5C-976F-8EAC2B608ADB}">
              <a16:predDERef xmlns:a16="http://schemas.microsoft.com/office/drawing/2014/main" pred="{A960B3A8-320B-00AD-D72E-0A10C43CA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selection activeCell="F1" sqref="F1:F6"/>
    </sheetView>
  </sheetViews>
  <sheetFormatPr defaultRowHeight="15"/>
  <cols>
    <col min="1" max="1" width="11.85546875" style="2" customWidth="1"/>
    <col min="2" max="2" width="16.28515625" style="2" customWidth="1"/>
    <col min="3" max="3" width="13.5703125" style="2" customWidth="1"/>
    <col min="4" max="4" width="21.5703125" style="2" customWidth="1"/>
    <col min="5" max="5" width="19.5703125" style="2" customWidth="1"/>
    <col min="6" max="6" width="54.8554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>
      <c r="A2" s="3">
        <v>46027</v>
      </c>
      <c r="B2" s="2" t="s">
        <v>6</v>
      </c>
      <c r="C2" s="2">
        <v>50</v>
      </c>
      <c r="D2" s="2" t="s">
        <v>7</v>
      </c>
      <c r="E2" s="1" t="s">
        <v>8</v>
      </c>
      <c r="F2" t="s">
        <v>9</v>
      </c>
    </row>
    <row r="3" spans="1:6">
      <c r="A3" s="3">
        <v>46027</v>
      </c>
      <c r="B3" s="2" t="s">
        <v>10</v>
      </c>
      <c r="C3" s="2">
        <v>300</v>
      </c>
      <c r="D3" s="2" t="s">
        <v>11</v>
      </c>
      <c r="E3" s="4" t="s">
        <v>12</v>
      </c>
      <c r="F3" t="s">
        <v>13</v>
      </c>
    </row>
    <row r="4" spans="1:6">
      <c r="A4" s="3">
        <v>46027</v>
      </c>
      <c r="B4" s="2" t="s">
        <v>14</v>
      </c>
      <c r="C4" s="2">
        <v>2000</v>
      </c>
      <c r="D4" s="2" t="s">
        <v>7</v>
      </c>
      <c r="E4" s="4" t="s">
        <v>15</v>
      </c>
      <c r="F4" t="s">
        <v>16</v>
      </c>
    </row>
    <row r="5" spans="1:6">
      <c r="A5" s="3">
        <v>46027</v>
      </c>
      <c r="B5" s="2" t="s">
        <v>6</v>
      </c>
      <c r="C5" s="2">
        <v>250</v>
      </c>
      <c r="D5" s="2" t="s">
        <v>7</v>
      </c>
      <c r="E5" s="4" t="s">
        <v>17</v>
      </c>
      <c r="F5" t="s">
        <v>18</v>
      </c>
    </row>
    <row r="6" spans="1:6">
      <c r="A6" s="3">
        <v>46027</v>
      </c>
      <c r="B6" s="2" t="s">
        <v>6</v>
      </c>
      <c r="C6" s="2">
        <v>100</v>
      </c>
      <c r="D6" s="2" t="s">
        <v>7</v>
      </c>
      <c r="E6" s="4" t="s">
        <v>19</v>
      </c>
    </row>
    <row r="7" spans="1:6">
      <c r="A7" s="3">
        <v>46058</v>
      </c>
      <c r="B7" s="2" t="s">
        <v>6</v>
      </c>
      <c r="C7" s="2">
        <v>80</v>
      </c>
      <c r="D7" s="2" t="s">
        <v>7</v>
      </c>
      <c r="E7" s="4" t="s">
        <v>20</v>
      </c>
    </row>
    <row r="8" spans="1:6">
      <c r="A8" s="3">
        <v>46058</v>
      </c>
      <c r="B8" s="2" t="s">
        <v>21</v>
      </c>
      <c r="C8" s="2">
        <v>5000</v>
      </c>
      <c r="D8" s="2" t="s">
        <v>7</v>
      </c>
      <c r="E8" s="4" t="s">
        <v>22</v>
      </c>
      <c r="F8">
        <f>COUNTIF(D2:D18,"CASH")</f>
        <v>4</v>
      </c>
    </row>
    <row r="9" spans="1:6">
      <c r="A9" s="3">
        <v>46058</v>
      </c>
      <c r="B9" s="2" t="s">
        <v>10</v>
      </c>
      <c r="C9" s="2">
        <v>800</v>
      </c>
      <c r="D9" s="2" t="s">
        <v>11</v>
      </c>
      <c r="E9" s="1" t="s">
        <v>23</v>
      </c>
    </row>
    <row r="10" spans="1:6">
      <c r="A10" s="3">
        <v>46058</v>
      </c>
      <c r="B10" s="2" t="s">
        <v>6</v>
      </c>
      <c r="C10" s="2">
        <v>500</v>
      </c>
      <c r="D10" s="2" t="s">
        <v>7</v>
      </c>
      <c r="E10" s="1" t="s">
        <v>17</v>
      </c>
    </row>
    <row r="11" spans="1:6">
      <c r="A11" s="3">
        <v>46058</v>
      </c>
      <c r="B11" s="2" t="s">
        <v>10</v>
      </c>
      <c r="C11" s="2">
        <v>1000</v>
      </c>
      <c r="D11" s="2" t="s">
        <v>11</v>
      </c>
      <c r="E11" s="1" t="s">
        <v>24</v>
      </c>
    </row>
    <row r="12" spans="1:6">
      <c r="A12" s="3">
        <v>46058</v>
      </c>
      <c r="B12" s="2" t="s">
        <v>6</v>
      </c>
      <c r="C12" s="2">
        <v>250</v>
      </c>
      <c r="D12" s="2" t="s">
        <v>7</v>
      </c>
      <c r="E12" s="2" t="s">
        <v>25</v>
      </c>
    </row>
    <row r="13" spans="1:6">
      <c r="A13" s="3">
        <v>46086</v>
      </c>
      <c r="B13" s="2" t="s">
        <v>6</v>
      </c>
      <c r="C13" s="2">
        <v>250</v>
      </c>
      <c r="D13" s="2" t="s">
        <v>7</v>
      </c>
      <c r="E13" s="2" t="s">
        <v>8</v>
      </c>
    </row>
    <row r="14" spans="1:6">
      <c r="A14" s="3">
        <v>46086</v>
      </c>
      <c r="B14" s="2" t="s">
        <v>14</v>
      </c>
      <c r="C14" s="2">
        <v>1000</v>
      </c>
      <c r="D14" s="2" t="s">
        <v>7</v>
      </c>
      <c r="E14" s="2" t="s">
        <v>26</v>
      </c>
    </row>
    <row r="15" spans="1:6">
      <c r="A15" s="3">
        <v>46086</v>
      </c>
      <c r="B15" s="2" t="s">
        <v>14</v>
      </c>
      <c r="C15" s="2">
        <v>5000</v>
      </c>
      <c r="D15" s="2" t="s">
        <v>7</v>
      </c>
      <c r="E15" s="2" t="s">
        <v>27</v>
      </c>
    </row>
    <row r="16" spans="1:6">
      <c r="A16" s="3">
        <v>46086</v>
      </c>
      <c r="B16" s="2" t="s">
        <v>6</v>
      </c>
      <c r="C16" s="2">
        <v>500</v>
      </c>
      <c r="D16" s="2" t="s">
        <v>7</v>
      </c>
      <c r="E16" s="2" t="s">
        <v>17</v>
      </c>
    </row>
    <row r="17" spans="1:5">
      <c r="A17" s="3">
        <v>46086</v>
      </c>
      <c r="B17" s="2" t="s">
        <v>10</v>
      </c>
      <c r="C17" s="2">
        <v>500</v>
      </c>
      <c r="D17" s="2" t="s">
        <v>11</v>
      </c>
      <c r="E17" s="2" t="s">
        <v>28</v>
      </c>
    </row>
    <row r="18" spans="1:5">
      <c r="A18" s="3">
        <v>46086</v>
      </c>
      <c r="B18" s="2" t="s">
        <v>6</v>
      </c>
      <c r="C18" s="2">
        <v>200</v>
      </c>
      <c r="D18" s="2" t="s">
        <v>7</v>
      </c>
      <c r="E18" s="2" t="s">
        <v>29</v>
      </c>
    </row>
    <row r="19" spans="1:5">
      <c r="B19"/>
      <c r="C19"/>
    </row>
    <row r="20" spans="1:5">
      <c r="B20"/>
      <c r="C20"/>
    </row>
    <row r="21" spans="1:5">
      <c r="B21"/>
      <c r="C21"/>
    </row>
    <row r="22" spans="1:5">
      <c r="B22"/>
      <c r="C22"/>
    </row>
    <row r="23" spans="1:5">
      <c r="B23"/>
      <c r="C23"/>
    </row>
    <row r="24" spans="1:5">
      <c r="B24"/>
      <c r="C24"/>
    </row>
    <row r="25" spans="1:5">
      <c r="B25"/>
      <c r="C25"/>
    </row>
    <row r="26" spans="1:5">
      <c r="B26"/>
      <c r="C26"/>
    </row>
    <row r="27" spans="1:5">
      <c r="B27"/>
      <c r="C27"/>
    </row>
    <row r="28" spans="1:5">
      <c r="B28"/>
      <c r="C28"/>
    </row>
    <row r="29" spans="1:5">
      <c r="B29"/>
      <c r="C29"/>
    </row>
    <row r="30" spans="1:5">
      <c r="B30"/>
      <c r="C30"/>
    </row>
    <row r="31" spans="1:5">
      <c r="B31"/>
      <c r="C31"/>
    </row>
    <row r="32" spans="1:5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9E9C-DA2C-4900-864C-31CACC0118E7}">
  <dimension ref="A1:S18"/>
  <sheetViews>
    <sheetView tabSelected="1" workbookViewId="0">
      <selection activeCell="D11" sqref="D11"/>
    </sheetView>
  </sheetViews>
  <sheetFormatPr defaultRowHeight="15"/>
  <cols>
    <col min="1" max="1" width="19.5703125" customWidth="1"/>
    <col min="3" max="3" width="16.28515625" customWidth="1"/>
    <col min="4" max="4" width="18.7109375" customWidth="1"/>
  </cols>
  <sheetData>
    <row r="1" spans="1:19" ht="23.25">
      <c r="A1" s="2" t="s">
        <v>1</v>
      </c>
      <c r="B1" s="2" t="s">
        <v>2</v>
      </c>
      <c r="C1" t="s">
        <v>6</v>
      </c>
      <c r="D1">
        <f xml:space="preserve">  2180</f>
        <v>2180</v>
      </c>
      <c r="S1" s="5" t="s">
        <v>30</v>
      </c>
    </row>
    <row r="2" spans="1:19">
      <c r="A2" s="2" t="s">
        <v>6</v>
      </c>
      <c r="B2" s="2">
        <v>50</v>
      </c>
      <c r="C2" t="s">
        <v>14</v>
      </c>
      <c r="D2">
        <f xml:space="preserve">   8000</f>
        <v>8000</v>
      </c>
      <c r="S2" t="s">
        <v>5</v>
      </c>
    </row>
    <row r="3" spans="1:19">
      <c r="A3" s="2" t="s">
        <v>10</v>
      </c>
      <c r="B3" s="2">
        <v>300</v>
      </c>
      <c r="C3" t="s">
        <v>10</v>
      </c>
      <c r="D3">
        <v>2600</v>
      </c>
      <c r="S3" t="s">
        <v>9</v>
      </c>
    </row>
    <row r="4" spans="1:19">
      <c r="A4" s="2" t="s">
        <v>14</v>
      </c>
      <c r="B4" s="2">
        <v>2000</v>
      </c>
      <c r="C4" t="s">
        <v>21</v>
      </c>
      <c r="D4">
        <v>5000</v>
      </c>
      <c r="S4" t="s">
        <v>13</v>
      </c>
    </row>
    <row r="5" spans="1:19">
      <c r="A5" s="2" t="s">
        <v>6</v>
      </c>
      <c r="B5" s="2">
        <v>250</v>
      </c>
      <c r="S5" t="s">
        <v>16</v>
      </c>
    </row>
    <row r="6" spans="1:19">
      <c r="A6" s="2" t="s">
        <v>6</v>
      </c>
      <c r="B6" s="2">
        <v>100</v>
      </c>
      <c r="S6" t="s">
        <v>18</v>
      </c>
    </row>
    <row r="7" spans="1:19">
      <c r="A7" s="2" t="s">
        <v>6</v>
      </c>
      <c r="B7" s="2">
        <v>80</v>
      </c>
    </row>
    <row r="8" spans="1:19">
      <c r="A8" s="2" t="s">
        <v>21</v>
      </c>
      <c r="B8" s="2">
        <v>5000</v>
      </c>
    </row>
    <row r="9" spans="1:19">
      <c r="A9" s="2" t="s">
        <v>10</v>
      </c>
      <c r="B9" s="2">
        <v>800</v>
      </c>
    </row>
    <row r="10" spans="1:19">
      <c r="A10" s="2" t="s">
        <v>6</v>
      </c>
      <c r="B10" s="2">
        <v>500</v>
      </c>
    </row>
    <row r="11" spans="1:19">
      <c r="A11" s="2" t="s">
        <v>10</v>
      </c>
      <c r="B11" s="2">
        <v>1000</v>
      </c>
    </row>
    <row r="12" spans="1:19">
      <c r="A12" s="2" t="s">
        <v>6</v>
      </c>
      <c r="B12" s="2">
        <v>250</v>
      </c>
    </row>
    <row r="13" spans="1:19">
      <c r="A13" s="2" t="s">
        <v>6</v>
      </c>
      <c r="B13" s="2">
        <v>250</v>
      </c>
    </row>
    <row r="14" spans="1:19">
      <c r="A14" s="2" t="s">
        <v>14</v>
      </c>
      <c r="B14" s="2">
        <v>1000</v>
      </c>
    </row>
    <row r="15" spans="1:19">
      <c r="A15" s="2" t="s">
        <v>14</v>
      </c>
      <c r="B15" s="2">
        <v>5000</v>
      </c>
    </row>
    <row r="16" spans="1:19">
      <c r="A16" s="2" t="s">
        <v>6</v>
      </c>
      <c r="B16" s="2">
        <v>500</v>
      </c>
    </row>
    <row r="17" spans="1:2">
      <c r="A17" s="2" t="s">
        <v>10</v>
      </c>
      <c r="B17" s="2">
        <v>500</v>
      </c>
    </row>
    <row r="18" spans="1:2">
      <c r="A18" s="2" t="s">
        <v>6</v>
      </c>
      <c r="B18" s="2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2026-05-24T05:05:10Z</dcterms:created>
  <dcterms:modified xsi:type="dcterms:W3CDTF">2026-05-24T07:42:22Z</dcterms:modified>
  <cp:category/>
  <cp:contentStatus/>
</cp:coreProperties>
</file>